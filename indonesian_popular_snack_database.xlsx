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620C1D8-08A4-46A2-A84B-19E38D9101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 &amp; Summary" sheetId="1" r:id="rId1"/>
    <sheet name="Snack Datab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2" l="1"/>
  <c r="H5" i="1" s="1"/>
  <c r="F55" i="2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5" i="1"/>
</calcChain>
</file>

<file path=xl/sharedStrings.xml><?xml version="1.0" encoding="utf-8"?>
<sst xmlns="http://schemas.openxmlformats.org/spreadsheetml/2006/main" count="222" uniqueCount="139">
  <si>
    <t>Snack Database Summary Dashboard</t>
  </si>
  <si>
    <t>TOTAL SNACKS PROFILED</t>
  </si>
  <si>
    <t>AVERAGE CALORIES</t>
  </si>
  <si>
    <t>AVERAGE PROTEIN</t>
  </si>
  <si>
    <t>Snack Analysis by Category</t>
  </si>
  <si>
    <t>Category Component</t>
  </si>
  <si>
    <t>Items Count</t>
  </si>
  <si>
    <t>Avg Calories (kcal)</t>
  </si>
  <si>
    <t>Avg Protein (g)</t>
  </si>
  <si>
    <t>Chocolates &amp; Sweets</t>
  </si>
  <si>
    <t>Noodle Snacks</t>
  </si>
  <si>
    <t>Cakes &amp; Bakery</t>
  </si>
  <si>
    <t>Chips &amp; Savory</t>
  </si>
  <si>
    <t>Biscuits &amp; Cookies</t>
  </si>
  <si>
    <t>Indonesian Market Popular Snack Database</t>
  </si>
  <si>
    <t>ID</t>
  </si>
  <si>
    <t>Snack Brand Name</t>
  </si>
  <si>
    <t>Category</t>
  </si>
  <si>
    <t>Serving Size</t>
  </si>
  <si>
    <t>Calories (kcal)</t>
  </si>
  <si>
    <t>Protein (g)</t>
  </si>
  <si>
    <t>SNK-001</t>
  </si>
  <si>
    <t>Oreo Original</t>
  </si>
  <si>
    <t>29.4g (3 pcs)</t>
  </si>
  <si>
    <t>SNK-002</t>
  </si>
  <si>
    <t>Beng-Beng Original</t>
  </si>
  <si>
    <t>20g (1 pc)</t>
  </si>
  <si>
    <t>SNK-003</t>
  </si>
  <si>
    <t>Roma Kelapa</t>
  </si>
  <si>
    <t>27g (3 pcs)</t>
  </si>
  <si>
    <t>SNK-004</t>
  </si>
  <si>
    <t>Roma Malkist Crackers</t>
  </si>
  <si>
    <t>SNK-005</t>
  </si>
  <si>
    <t>Roma Malkist Abon</t>
  </si>
  <si>
    <t>SNK-006</t>
  </si>
  <si>
    <t>Roma Malkist Cokelat</t>
  </si>
  <si>
    <t>25g</t>
  </si>
  <si>
    <t>SNK-007</t>
  </si>
  <si>
    <t>Good Time Choco Chip</t>
  </si>
  <si>
    <t>16g</t>
  </si>
  <si>
    <t>SNK-008</t>
  </si>
  <si>
    <t>Tango Wafer Cokelat</t>
  </si>
  <si>
    <t>20g</t>
  </si>
  <si>
    <t>SNK-009</t>
  </si>
  <si>
    <t>Tango Wafer Vanila</t>
  </si>
  <si>
    <t>SNK-010</t>
  </si>
  <si>
    <t>Khong Guan Assorted (Red)</t>
  </si>
  <si>
    <t>SNK-011</t>
  </si>
  <si>
    <t>Slai O'Lai Strawberry</t>
  </si>
  <si>
    <t>24g (3 pcs)</t>
  </si>
  <si>
    <t>SNK-012</t>
  </si>
  <si>
    <t>Nextar Brownies Choco</t>
  </si>
  <si>
    <t>14g (1 pc)</t>
  </si>
  <si>
    <t>SNK-013</t>
  </si>
  <si>
    <t>Genji Pie</t>
  </si>
  <si>
    <t>SNK-014</t>
  </si>
  <si>
    <t>Richeese Nabati Wafer Keju</t>
  </si>
  <si>
    <t>SNK-015</t>
  </si>
  <si>
    <t>Richoco Nabati Wafer Cokelat</t>
  </si>
  <si>
    <t>SNK-016</t>
  </si>
  <si>
    <t>Gery Saluut Malkist Keju</t>
  </si>
  <si>
    <t>22g</t>
  </si>
  <si>
    <t>SNK-017</t>
  </si>
  <si>
    <t>Gery Chocolatos</t>
  </si>
  <si>
    <t>8.5g (1 pc)</t>
  </si>
  <si>
    <t>SNK-018</t>
  </si>
  <si>
    <t>Pocky Chocolate</t>
  </si>
  <si>
    <t>SNK-019</t>
  </si>
  <si>
    <t>Pocky Matcha</t>
  </si>
  <si>
    <t>SNK-020</t>
  </si>
  <si>
    <t>Hello Panda Chocolate</t>
  </si>
  <si>
    <t>SNK-021</t>
  </si>
  <si>
    <t>Chitato Sapi Panggang</t>
  </si>
  <si>
    <t>SNK-022</t>
  </si>
  <si>
    <t>Lay's / Chiki Chips Rumput Laut</t>
  </si>
  <si>
    <t>SNK-023</t>
  </si>
  <si>
    <t>Qtela Singkong Original</t>
  </si>
  <si>
    <t>SNK-024</t>
  </si>
  <si>
    <t>Qtela Singkong Balado</t>
  </si>
  <si>
    <t>SNK-025</t>
  </si>
  <si>
    <t>Potabee Potato Chips BBQ</t>
  </si>
  <si>
    <t>SNK-026</t>
  </si>
  <si>
    <t>Kusuka Singkong Original</t>
  </si>
  <si>
    <t>SNK-027</t>
  </si>
  <si>
    <t>Pringles Original</t>
  </si>
  <si>
    <t>SNK-028</t>
  </si>
  <si>
    <t>Taro Net Seaweed</t>
  </si>
  <si>
    <t>15g</t>
  </si>
  <si>
    <t>SNK-029</t>
  </si>
  <si>
    <t>Chiki Balls Keju</t>
  </si>
  <si>
    <t>SNK-030</t>
  </si>
  <si>
    <t>Cheetos / Chiki Twist Jagung Bakar</t>
  </si>
  <si>
    <t>SNK-031</t>
  </si>
  <si>
    <t>JetZ Choco Fiend</t>
  </si>
  <si>
    <t>SNK-032</t>
  </si>
  <si>
    <t>Piattos Sapi Panggang</t>
  </si>
  <si>
    <t>SNK-033</t>
  </si>
  <si>
    <t>Smax Ring Keju</t>
  </si>
  <si>
    <t>SNK-034</t>
  </si>
  <si>
    <t>Garuda Kacang Atom</t>
  </si>
  <si>
    <t>SNK-035</t>
  </si>
  <si>
    <t>Garuda Kacang Kulit</t>
  </si>
  <si>
    <t>SNK-036</t>
  </si>
  <si>
    <t>Dua Kelinci Kacang Garing</t>
  </si>
  <si>
    <t>SNK-037</t>
  </si>
  <si>
    <t>Sukro Original</t>
  </si>
  <si>
    <t>SNK-038</t>
  </si>
  <si>
    <t>Kuku Bima / Tic Tac Sapi Panggang</t>
  </si>
  <si>
    <t>SNK-039</t>
  </si>
  <si>
    <t>Mie Gemez Enaak</t>
  </si>
  <si>
    <t>16g (1 pack)</t>
  </si>
  <si>
    <t>SNK-040</t>
  </si>
  <si>
    <t>Shorr / Mamee Monster</t>
  </si>
  <si>
    <t>SNK-041</t>
  </si>
  <si>
    <t>SilverQueen Milk Chocolate</t>
  </si>
  <si>
    <t>30g</t>
  </si>
  <si>
    <t>SNK-042</t>
  </si>
  <si>
    <t>SilverQueen Almond</t>
  </si>
  <si>
    <t>SNK-043</t>
  </si>
  <si>
    <t>Delfi Dairy Milk</t>
  </si>
  <si>
    <t>SNK-044</t>
  </si>
  <si>
    <t>Cadbury Dairy Milk</t>
  </si>
  <si>
    <t>SNK-045</t>
  </si>
  <si>
    <t>Kinder Joy</t>
  </si>
  <si>
    <t>SNK-046</t>
  </si>
  <si>
    <t>Yupi Gummy Bears</t>
  </si>
  <si>
    <t>SNK-047</t>
  </si>
  <si>
    <t>Inaco Jelly</t>
  </si>
  <si>
    <t>15g (1 pc)</t>
  </si>
  <si>
    <t>SNK-048</t>
  </si>
  <si>
    <t>Sari Roti Dorayaki Cokelat</t>
  </si>
  <si>
    <t>45g</t>
  </si>
  <si>
    <t>SNK-049</t>
  </si>
  <si>
    <t>Sari Roti Sandwich Cokelat</t>
  </si>
  <si>
    <t>48g</t>
  </si>
  <si>
    <t>SNK-050</t>
  </si>
  <si>
    <t>Choco Pie Lotte</t>
  </si>
  <si>
    <t>28g (1 pc)</t>
  </si>
  <si>
    <t>Average / Per Serving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</si>
</sst>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6"/>
      <color rgb="FF4A2C2A"/>
      <name val="Segoe UI"/>
    </font>
    <font>
      <b/>
      <sz val="11"/>
      <color rgb="FFFFFFFF"/>
      <name val="Segoe UI"/>
    </font>
    <font>
      <sz val="11"/>
      <color rgb="FF000000"/>
      <name val="Segoe UI"/>
    </font>
    <font>
      <b/>
      <sz val="11"/>
      <color rgb="FF000000"/>
      <name val="Segoe UI"/>
    </font>
    <font>
      <b/>
      <sz val="9"/>
      <color rgb="FF7F7F7F"/>
      <name val="Segoe UI"/>
    </font>
    <font>
      <b/>
      <sz val="20"/>
      <color rgb="FF4A2C2A"/>
      <name val="Segoe UI"/>
    </font>
    <font>
      <b/>
      <sz val="13"/>
      <color rgb="FF4A2C2A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4A2C2A"/>
        <bgColor rgb="FF4A2C2A"/>
      </patternFill>
    </fill>
    <fill>
      <patternFill patternType="solid">
        <fgColor rgb="FFFFFFFF"/>
        <bgColor rgb="FFFFFFFF"/>
      </patternFill>
    </fill>
    <fill>
      <patternFill patternType="solid">
        <fgColor rgb="FFFDF8F5"/>
        <bgColor rgb="FFFDF8F5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4A2C2A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double">
        <color rgb="FF4A2C2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7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/>
    </xf>
    <xf numFmtId="3" fontId="3" fillId="4" borderId="2" xfId="0" applyNumberFormat="1" applyFont="1" applyFill="1" applyBorder="1" applyAlignment="1">
      <alignment horizontal="center"/>
    </xf>
    <xf numFmtId="3" fontId="3" fillId="4" borderId="2" xfId="0" applyNumberFormat="1" applyFont="1" applyFill="1" applyBorder="1" applyAlignment="1">
      <alignment horizontal="right"/>
    </xf>
    <xf numFmtId="164" fontId="3" fillId="4" borderId="2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left"/>
    </xf>
    <xf numFmtId="3" fontId="3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0" fillId="0" borderId="3" xfId="0" applyBorder="1"/>
    <xf numFmtId="0" fontId="4" fillId="0" borderId="3" xfId="0" applyFont="1" applyBorder="1"/>
    <xf numFmtId="3" fontId="4" fillId="0" borderId="3" xfId="0" applyNumberFormat="1" applyFont="1" applyBorder="1" applyAlignment="1">
      <alignment horizontal="right"/>
    </xf>
    <xf numFmtId="164" fontId="4" fillId="0" borderId="3" xfId="0" applyNumberFormat="1" applyFont="1" applyBorder="1" applyAlignment="1">
      <alignment horizontal="right"/>
    </xf>
    <xf numFmtId="0" fontId="5" fillId="4" borderId="2" xfId="0" applyFont="1" applyFill="1" applyBorder="1"/>
    <xf numFmtId="0" fontId="0" fillId="4" borderId="2" xfId="0" applyFill="1" applyBorder="1"/>
    <xf numFmtId="3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workbookViewId="0"/>
  </sheetViews>
  <sheetFormatPr defaultRowHeight="14.4" x14ac:dyDescent="0.3"/>
  <cols>
    <col min="2" max="2" width="36" customWidth="1"/>
    <col min="3" max="3" width="15" customWidth="1"/>
    <col min="4" max="4" width="23" customWidth="1"/>
    <col min="5" max="5" width="20" customWidth="1"/>
    <col min="6" max="7" width="15" customWidth="1"/>
    <col min="8" max="8" width="19" customWidth="1"/>
  </cols>
  <sheetData>
    <row r="2" spans="2:9" ht="24.6" x14ac:dyDescent="0.55000000000000004">
      <c r="B2" s="1" t="s">
        <v>0</v>
      </c>
    </row>
    <row r="4" spans="2:9" x14ac:dyDescent="0.3">
      <c r="B4" s="20" t="s">
        <v>1</v>
      </c>
      <c r="C4" s="21"/>
      <c r="E4" s="20" t="s">
        <v>2</v>
      </c>
      <c r="F4" s="21"/>
      <c r="H4" s="20" t="s">
        <v>3</v>
      </c>
      <c r="I4" s="21"/>
    </row>
    <row r="5" spans="2:9" x14ac:dyDescent="0.3">
      <c r="B5" s="22">
        <v>50</v>
      </c>
      <c r="C5" s="21"/>
      <c r="E5" s="23">
        <f>'Snack Database'!F55</f>
        <v>109.3</v>
      </c>
      <c r="F5" s="21"/>
      <c r="H5" s="23">
        <f>'Snack Database'!G55</f>
        <v>1.65</v>
      </c>
      <c r="I5" s="21"/>
    </row>
    <row r="6" spans="2:9" x14ac:dyDescent="0.3">
      <c r="B6" s="21"/>
      <c r="C6" s="21"/>
      <c r="E6" s="21"/>
      <c r="F6" s="21"/>
      <c r="H6" s="21"/>
      <c r="I6" s="21"/>
    </row>
    <row r="9" spans="2:9" ht="19.8" x14ac:dyDescent="0.45">
      <c r="B9" s="2" t="s">
        <v>4</v>
      </c>
    </row>
    <row r="11" spans="2:9" ht="16.8" x14ac:dyDescent="0.3">
      <c r="B11" s="3" t="s">
        <v>5</v>
      </c>
      <c r="C11" s="4" t="s">
        <v>6</v>
      </c>
      <c r="D11" s="4" t="s">
        <v>7</v>
      </c>
      <c r="E11" s="4" t="s">
        <v>8</v>
      </c>
    </row>
    <row r="12" spans="2:9" ht="16.8" x14ac:dyDescent="0.4">
      <c r="B12" s="5" t="s">
        <v>9</v>
      </c>
      <c r="C12" s="6">
        <f>COUNTIF('Snack Database'!D5:D54, "Chocolates &amp; Sweets")</f>
        <v>7</v>
      </c>
      <c r="D12" s="7">
        <f>AVERAGEIF('Snack Database'!D5:D54, "Chocolates &amp; Sweets", 'Snack Database'!F5:F54)</f>
        <v>122.14285714285714</v>
      </c>
      <c r="E12" s="8">
        <f>AVERAGEIF('Snack Database'!D5:D54, "Chocolates &amp; Sweets", 'Snack Database'!G5:G54)</f>
        <v>1.7857142857142858</v>
      </c>
    </row>
    <row r="13" spans="2:9" ht="16.8" x14ac:dyDescent="0.4">
      <c r="B13" s="9" t="s">
        <v>10</v>
      </c>
      <c r="C13" s="10">
        <f>COUNTIF('Snack Database'!D5:D54, "Noodle Snacks")</f>
        <v>2</v>
      </c>
      <c r="D13" s="11">
        <f>AVERAGEIF('Snack Database'!D5:D54, "Noodle Snacks", 'Snack Database'!F5:F54)</f>
        <v>90</v>
      </c>
      <c r="E13" s="12">
        <f>AVERAGEIF('Snack Database'!D5:D54, "Noodle Snacks", 'Snack Database'!G5:G54)</f>
        <v>2</v>
      </c>
    </row>
    <row r="14" spans="2:9" ht="16.8" x14ac:dyDescent="0.4">
      <c r="B14" s="5" t="s">
        <v>11</v>
      </c>
      <c r="C14" s="6">
        <f>COUNTIF('Snack Database'!D5:D54, "Cakes &amp; Bakery")</f>
        <v>3</v>
      </c>
      <c r="D14" s="7">
        <f>AVERAGEIF('Snack Database'!D5:D54, "Cakes &amp; Bakery", 'Snack Database'!F5:F54)</f>
        <v>146.66666666666666</v>
      </c>
      <c r="E14" s="8">
        <f>AVERAGEIF('Snack Database'!D5:D54, "Cakes &amp; Bakery", 'Snack Database'!G5:G54)</f>
        <v>2.6666666666666665</v>
      </c>
    </row>
    <row r="15" spans="2:9" ht="16.8" x14ac:dyDescent="0.4">
      <c r="B15" s="9" t="s">
        <v>12</v>
      </c>
      <c r="C15" s="10">
        <f>COUNTIF('Snack Database'!D5:D54, "Chips &amp; Savory")</f>
        <v>18</v>
      </c>
      <c r="D15" s="11">
        <f>AVERAGEIF('Snack Database'!D5:D54, "Chips &amp; Savory", 'Snack Database'!F5:F54)</f>
        <v>104.72222222222223</v>
      </c>
      <c r="E15" s="12">
        <f>AVERAGEIF('Snack Database'!D5:D54, "Chips &amp; Savory", 'Snack Database'!G5:G54)</f>
        <v>1.6944444444444444</v>
      </c>
    </row>
    <row r="16" spans="2:9" ht="16.8" x14ac:dyDescent="0.4">
      <c r="B16" s="5" t="s">
        <v>13</v>
      </c>
      <c r="C16" s="6">
        <f>COUNTIF('Snack Database'!D5:D54, "Biscuits &amp; Cookies")</f>
        <v>20</v>
      </c>
      <c r="D16" s="7">
        <f>AVERAGEIF('Snack Database'!D5:D54, "Biscuits &amp; Cookies", 'Snack Database'!F5:F54)</f>
        <v>105.25</v>
      </c>
      <c r="E16" s="8">
        <f>AVERAGEIF('Snack Database'!D5:D54, "Biscuits &amp; Cookies", 'Snack Database'!G5:G54)</f>
        <v>1.375</v>
      </c>
    </row>
  </sheetData>
  <mergeCells count="6">
    <mergeCell ref="E4:F4"/>
    <mergeCell ref="B5:C6"/>
    <mergeCell ref="E5:F6"/>
    <mergeCell ref="H4:I4"/>
    <mergeCell ref="H5:I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55"/>
  <sheetViews>
    <sheetView tabSelected="1" workbookViewId="0">
      <pane xSplit="3" ySplit="4" topLeftCell="D50" activePane="bottomRight" state="frozen"/>
      <selection pane="topRight"/>
      <selection pane="bottomLeft"/>
      <selection pane="bottomRight"/>
    </sheetView>
  </sheetViews>
  <sheetFormatPr defaultRowHeight="14.4" x14ac:dyDescent="0.3"/>
  <cols>
    <col min="2" max="2" width="12" customWidth="1"/>
    <col min="3" max="3" width="38" customWidth="1"/>
    <col min="4" max="4" width="23" customWidth="1"/>
    <col min="5" max="5" width="17" customWidth="1"/>
    <col min="6" max="7" width="20" customWidth="1"/>
  </cols>
  <sheetData>
    <row r="2" spans="2:7" ht="25.05" customHeight="1" x14ac:dyDescent="0.55000000000000004">
      <c r="B2" s="1" t="s">
        <v>14</v>
      </c>
    </row>
    <row r="4" spans="2:7" ht="24" customHeight="1" x14ac:dyDescent="0.3">
      <c r="B4" s="4" t="s">
        <v>15</v>
      </c>
      <c r="C4" s="3" t="s">
        <v>16</v>
      </c>
      <c r="D4" s="4" t="s">
        <v>17</v>
      </c>
      <c r="E4" s="4" t="s">
        <v>18</v>
      </c>
      <c r="F4" s="4" t="s">
        <v>19</v>
      </c>
      <c r="G4" s="4" t="s">
        <v>20</v>
      </c>
    </row>
    <row r="5" spans="2:7" ht="19.95" customHeight="1" x14ac:dyDescent="0.4">
      <c r="B5" s="13" t="s">
        <v>21</v>
      </c>
      <c r="C5" s="14" t="s">
        <v>22</v>
      </c>
      <c r="D5" s="13" t="s">
        <v>13</v>
      </c>
      <c r="E5" s="13" t="s">
        <v>23</v>
      </c>
      <c r="F5" s="11">
        <v>140</v>
      </c>
      <c r="G5" s="12">
        <v>1</v>
      </c>
    </row>
    <row r="6" spans="2:7" ht="19.95" customHeight="1" x14ac:dyDescent="0.4">
      <c r="B6" s="15" t="s">
        <v>24</v>
      </c>
      <c r="C6" s="5" t="s">
        <v>25</v>
      </c>
      <c r="D6" s="15" t="s">
        <v>13</v>
      </c>
      <c r="E6" s="15" t="s">
        <v>26</v>
      </c>
      <c r="F6" s="7">
        <v>100</v>
      </c>
      <c r="G6" s="8">
        <v>1</v>
      </c>
    </row>
    <row r="7" spans="2:7" ht="19.95" customHeight="1" x14ac:dyDescent="0.4">
      <c r="B7" s="13" t="s">
        <v>27</v>
      </c>
      <c r="C7" s="14" t="s">
        <v>28</v>
      </c>
      <c r="D7" s="13" t="s">
        <v>13</v>
      </c>
      <c r="E7" s="13" t="s">
        <v>29</v>
      </c>
      <c r="F7" s="11">
        <v>130</v>
      </c>
      <c r="G7" s="12">
        <v>2</v>
      </c>
    </row>
    <row r="8" spans="2:7" ht="19.95" customHeight="1" x14ac:dyDescent="0.4">
      <c r="B8" s="15" t="s">
        <v>30</v>
      </c>
      <c r="C8" s="5" t="s">
        <v>31</v>
      </c>
      <c r="D8" s="15" t="s">
        <v>13</v>
      </c>
      <c r="E8" s="15" t="s">
        <v>29</v>
      </c>
      <c r="F8" s="7">
        <v>120</v>
      </c>
      <c r="G8" s="8">
        <v>2</v>
      </c>
    </row>
    <row r="9" spans="2:7" ht="19.95" customHeight="1" x14ac:dyDescent="0.4">
      <c r="B9" s="13" t="s">
        <v>32</v>
      </c>
      <c r="C9" s="14" t="s">
        <v>33</v>
      </c>
      <c r="D9" s="13" t="s">
        <v>13</v>
      </c>
      <c r="E9" s="13" t="s">
        <v>29</v>
      </c>
      <c r="F9" s="11">
        <v>130</v>
      </c>
      <c r="G9" s="12">
        <v>2</v>
      </c>
    </row>
    <row r="10" spans="2:7" ht="19.95" customHeight="1" x14ac:dyDescent="0.4">
      <c r="B10" s="15" t="s">
        <v>34</v>
      </c>
      <c r="C10" s="5" t="s">
        <v>35</v>
      </c>
      <c r="D10" s="15" t="s">
        <v>13</v>
      </c>
      <c r="E10" s="15" t="s">
        <v>36</v>
      </c>
      <c r="F10" s="7">
        <v>120</v>
      </c>
      <c r="G10" s="8">
        <v>2</v>
      </c>
    </row>
    <row r="11" spans="2:7" ht="19.95" customHeight="1" x14ac:dyDescent="0.4">
      <c r="B11" s="13" t="s">
        <v>37</v>
      </c>
      <c r="C11" s="14" t="s">
        <v>38</v>
      </c>
      <c r="D11" s="13" t="s">
        <v>13</v>
      </c>
      <c r="E11" s="13" t="s">
        <v>39</v>
      </c>
      <c r="F11" s="11">
        <v>80</v>
      </c>
      <c r="G11" s="12">
        <v>1</v>
      </c>
    </row>
    <row r="12" spans="2:7" ht="19.95" customHeight="1" x14ac:dyDescent="0.4">
      <c r="B12" s="15" t="s">
        <v>40</v>
      </c>
      <c r="C12" s="5" t="s">
        <v>41</v>
      </c>
      <c r="D12" s="15" t="s">
        <v>13</v>
      </c>
      <c r="E12" s="15" t="s">
        <v>42</v>
      </c>
      <c r="F12" s="7">
        <v>100</v>
      </c>
      <c r="G12" s="8">
        <v>1</v>
      </c>
    </row>
    <row r="13" spans="2:7" ht="19.95" customHeight="1" x14ac:dyDescent="0.4">
      <c r="B13" s="13" t="s">
        <v>43</v>
      </c>
      <c r="C13" s="14" t="s">
        <v>44</v>
      </c>
      <c r="D13" s="13" t="s">
        <v>13</v>
      </c>
      <c r="E13" s="13" t="s">
        <v>42</v>
      </c>
      <c r="F13" s="11">
        <v>100</v>
      </c>
      <c r="G13" s="12">
        <v>1</v>
      </c>
    </row>
    <row r="14" spans="2:7" ht="19.95" customHeight="1" x14ac:dyDescent="0.4">
      <c r="B14" s="15" t="s">
        <v>45</v>
      </c>
      <c r="C14" s="5" t="s">
        <v>46</v>
      </c>
      <c r="D14" s="15" t="s">
        <v>13</v>
      </c>
      <c r="E14" s="15" t="s">
        <v>36</v>
      </c>
      <c r="F14" s="7">
        <v>120</v>
      </c>
      <c r="G14" s="8">
        <v>2</v>
      </c>
    </row>
    <row r="15" spans="2:7" ht="19.95" customHeight="1" x14ac:dyDescent="0.4">
      <c r="B15" s="13" t="s">
        <v>47</v>
      </c>
      <c r="C15" s="14" t="s">
        <v>48</v>
      </c>
      <c r="D15" s="13" t="s">
        <v>13</v>
      </c>
      <c r="E15" s="13" t="s">
        <v>49</v>
      </c>
      <c r="F15" s="11">
        <v>110</v>
      </c>
      <c r="G15" s="12">
        <v>1</v>
      </c>
    </row>
    <row r="16" spans="2:7" ht="19.95" customHeight="1" x14ac:dyDescent="0.4">
      <c r="B16" s="15" t="s">
        <v>50</v>
      </c>
      <c r="C16" s="5" t="s">
        <v>51</v>
      </c>
      <c r="D16" s="15" t="s">
        <v>13</v>
      </c>
      <c r="E16" s="15" t="s">
        <v>52</v>
      </c>
      <c r="F16" s="7">
        <v>70</v>
      </c>
      <c r="G16" s="8">
        <v>1</v>
      </c>
    </row>
    <row r="17" spans="2:7" ht="19.95" customHeight="1" x14ac:dyDescent="0.4">
      <c r="B17" s="13" t="s">
        <v>53</v>
      </c>
      <c r="C17" s="14" t="s">
        <v>54</v>
      </c>
      <c r="D17" s="13" t="s">
        <v>13</v>
      </c>
      <c r="E17" s="13" t="s">
        <v>42</v>
      </c>
      <c r="F17" s="11">
        <v>110</v>
      </c>
      <c r="G17" s="12">
        <v>1</v>
      </c>
    </row>
    <row r="18" spans="2:7" ht="19.95" customHeight="1" x14ac:dyDescent="0.4">
      <c r="B18" s="15" t="s">
        <v>55</v>
      </c>
      <c r="C18" s="5" t="s">
        <v>56</v>
      </c>
      <c r="D18" s="15" t="s">
        <v>13</v>
      </c>
      <c r="E18" s="15" t="s">
        <v>42</v>
      </c>
      <c r="F18" s="7">
        <v>100</v>
      </c>
      <c r="G18" s="8">
        <v>1</v>
      </c>
    </row>
    <row r="19" spans="2:7" ht="19.95" customHeight="1" x14ac:dyDescent="0.4">
      <c r="B19" s="13" t="s">
        <v>57</v>
      </c>
      <c r="C19" s="14" t="s">
        <v>58</v>
      </c>
      <c r="D19" s="13" t="s">
        <v>13</v>
      </c>
      <c r="E19" s="13" t="s">
        <v>42</v>
      </c>
      <c r="F19" s="11">
        <v>100</v>
      </c>
      <c r="G19" s="12">
        <v>1</v>
      </c>
    </row>
    <row r="20" spans="2:7" ht="19.95" customHeight="1" x14ac:dyDescent="0.4">
      <c r="B20" s="15" t="s">
        <v>59</v>
      </c>
      <c r="C20" s="5" t="s">
        <v>60</v>
      </c>
      <c r="D20" s="15" t="s">
        <v>13</v>
      </c>
      <c r="E20" s="15" t="s">
        <v>61</v>
      </c>
      <c r="F20" s="7">
        <v>110</v>
      </c>
      <c r="G20" s="8">
        <v>2</v>
      </c>
    </row>
    <row r="21" spans="2:7" ht="19.95" customHeight="1" x14ac:dyDescent="0.4">
      <c r="B21" s="13" t="s">
        <v>62</v>
      </c>
      <c r="C21" s="14" t="s">
        <v>63</v>
      </c>
      <c r="D21" s="13" t="s">
        <v>13</v>
      </c>
      <c r="E21" s="13" t="s">
        <v>64</v>
      </c>
      <c r="F21" s="11">
        <v>45</v>
      </c>
      <c r="G21" s="12">
        <v>0.5</v>
      </c>
    </row>
    <row r="22" spans="2:7" ht="19.95" customHeight="1" x14ac:dyDescent="0.4">
      <c r="B22" s="15" t="s">
        <v>65</v>
      </c>
      <c r="C22" s="5" t="s">
        <v>66</v>
      </c>
      <c r="D22" s="15" t="s">
        <v>13</v>
      </c>
      <c r="E22" s="15" t="s">
        <v>61</v>
      </c>
      <c r="F22" s="7">
        <v>110</v>
      </c>
      <c r="G22" s="8">
        <v>2</v>
      </c>
    </row>
    <row r="23" spans="2:7" ht="19.95" customHeight="1" x14ac:dyDescent="0.4">
      <c r="B23" s="13" t="s">
        <v>67</v>
      </c>
      <c r="C23" s="14" t="s">
        <v>68</v>
      </c>
      <c r="D23" s="13" t="s">
        <v>13</v>
      </c>
      <c r="E23" s="13" t="s">
        <v>61</v>
      </c>
      <c r="F23" s="11">
        <v>110</v>
      </c>
      <c r="G23" s="12">
        <v>2</v>
      </c>
    </row>
    <row r="24" spans="2:7" ht="19.95" customHeight="1" x14ac:dyDescent="0.4">
      <c r="B24" s="15" t="s">
        <v>69</v>
      </c>
      <c r="C24" s="5" t="s">
        <v>70</v>
      </c>
      <c r="D24" s="15" t="s">
        <v>13</v>
      </c>
      <c r="E24" s="15" t="s">
        <v>42</v>
      </c>
      <c r="F24" s="7">
        <v>100</v>
      </c>
      <c r="G24" s="8">
        <v>1</v>
      </c>
    </row>
    <row r="25" spans="2:7" ht="19.95" customHeight="1" x14ac:dyDescent="0.4">
      <c r="B25" s="13" t="s">
        <v>71</v>
      </c>
      <c r="C25" s="14" t="s">
        <v>72</v>
      </c>
      <c r="D25" s="13" t="s">
        <v>12</v>
      </c>
      <c r="E25" s="13" t="s">
        <v>42</v>
      </c>
      <c r="F25" s="11">
        <v>110</v>
      </c>
      <c r="G25" s="12">
        <v>1</v>
      </c>
    </row>
    <row r="26" spans="2:7" ht="19.95" customHeight="1" x14ac:dyDescent="0.4">
      <c r="B26" s="15" t="s">
        <v>73</v>
      </c>
      <c r="C26" s="5" t="s">
        <v>74</v>
      </c>
      <c r="D26" s="15" t="s">
        <v>12</v>
      </c>
      <c r="E26" s="15" t="s">
        <v>42</v>
      </c>
      <c r="F26" s="7">
        <v>110</v>
      </c>
      <c r="G26" s="8">
        <v>1</v>
      </c>
    </row>
    <row r="27" spans="2:7" ht="19.95" customHeight="1" x14ac:dyDescent="0.4">
      <c r="B27" s="13" t="s">
        <v>75</v>
      </c>
      <c r="C27" s="14" t="s">
        <v>76</v>
      </c>
      <c r="D27" s="13" t="s">
        <v>12</v>
      </c>
      <c r="E27" s="13" t="s">
        <v>42</v>
      </c>
      <c r="F27" s="11">
        <v>100</v>
      </c>
      <c r="G27" s="12">
        <v>0.5</v>
      </c>
    </row>
    <row r="28" spans="2:7" ht="19.95" customHeight="1" x14ac:dyDescent="0.4">
      <c r="B28" s="15" t="s">
        <v>77</v>
      </c>
      <c r="C28" s="5" t="s">
        <v>78</v>
      </c>
      <c r="D28" s="15" t="s">
        <v>12</v>
      </c>
      <c r="E28" s="15" t="s">
        <v>42</v>
      </c>
      <c r="F28" s="7">
        <v>100</v>
      </c>
      <c r="G28" s="8">
        <v>0.5</v>
      </c>
    </row>
    <row r="29" spans="2:7" ht="19.95" customHeight="1" x14ac:dyDescent="0.4">
      <c r="B29" s="13" t="s">
        <v>79</v>
      </c>
      <c r="C29" s="14" t="s">
        <v>80</v>
      </c>
      <c r="D29" s="13" t="s">
        <v>12</v>
      </c>
      <c r="E29" s="13" t="s">
        <v>42</v>
      </c>
      <c r="F29" s="11">
        <v>110</v>
      </c>
      <c r="G29" s="12">
        <v>1</v>
      </c>
    </row>
    <row r="30" spans="2:7" ht="19.95" customHeight="1" x14ac:dyDescent="0.4">
      <c r="B30" s="15" t="s">
        <v>81</v>
      </c>
      <c r="C30" s="5" t="s">
        <v>82</v>
      </c>
      <c r="D30" s="15" t="s">
        <v>12</v>
      </c>
      <c r="E30" s="15" t="s">
        <v>42</v>
      </c>
      <c r="F30" s="7">
        <v>100</v>
      </c>
      <c r="G30" s="8">
        <v>0.5</v>
      </c>
    </row>
    <row r="31" spans="2:7" ht="19.95" customHeight="1" x14ac:dyDescent="0.4">
      <c r="B31" s="13" t="s">
        <v>83</v>
      </c>
      <c r="C31" s="14" t="s">
        <v>84</v>
      </c>
      <c r="D31" s="13" t="s">
        <v>12</v>
      </c>
      <c r="E31" s="13" t="s">
        <v>36</v>
      </c>
      <c r="F31" s="11">
        <v>130</v>
      </c>
      <c r="G31" s="12">
        <v>1</v>
      </c>
    </row>
    <row r="32" spans="2:7" ht="19.95" customHeight="1" x14ac:dyDescent="0.4">
      <c r="B32" s="15" t="s">
        <v>85</v>
      </c>
      <c r="C32" s="5" t="s">
        <v>86</v>
      </c>
      <c r="D32" s="15" t="s">
        <v>12</v>
      </c>
      <c r="E32" s="15" t="s">
        <v>87</v>
      </c>
      <c r="F32" s="7">
        <v>70</v>
      </c>
      <c r="G32" s="8">
        <v>1</v>
      </c>
    </row>
    <row r="33" spans="2:7" ht="19.95" customHeight="1" x14ac:dyDescent="0.4">
      <c r="B33" s="13" t="s">
        <v>88</v>
      </c>
      <c r="C33" s="14" t="s">
        <v>89</v>
      </c>
      <c r="D33" s="13" t="s">
        <v>12</v>
      </c>
      <c r="E33" s="13" t="s">
        <v>87</v>
      </c>
      <c r="F33" s="11">
        <v>80</v>
      </c>
      <c r="G33" s="12">
        <v>1</v>
      </c>
    </row>
    <row r="34" spans="2:7" ht="19.95" customHeight="1" x14ac:dyDescent="0.4">
      <c r="B34" s="15" t="s">
        <v>90</v>
      </c>
      <c r="C34" s="5" t="s">
        <v>91</v>
      </c>
      <c r="D34" s="15" t="s">
        <v>12</v>
      </c>
      <c r="E34" s="15" t="s">
        <v>87</v>
      </c>
      <c r="F34" s="7">
        <v>75</v>
      </c>
      <c r="G34" s="8">
        <v>1</v>
      </c>
    </row>
    <row r="35" spans="2:7" ht="19.95" customHeight="1" x14ac:dyDescent="0.4">
      <c r="B35" s="13" t="s">
        <v>92</v>
      </c>
      <c r="C35" s="14" t="s">
        <v>93</v>
      </c>
      <c r="D35" s="13" t="s">
        <v>12</v>
      </c>
      <c r="E35" s="13" t="s">
        <v>42</v>
      </c>
      <c r="F35" s="11">
        <v>100</v>
      </c>
      <c r="G35" s="12">
        <v>1</v>
      </c>
    </row>
    <row r="36" spans="2:7" ht="19.95" customHeight="1" x14ac:dyDescent="0.4">
      <c r="B36" s="15" t="s">
        <v>94</v>
      </c>
      <c r="C36" s="5" t="s">
        <v>95</v>
      </c>
      <c r="D36" s="15" t="s">
        <v>12</v>
      </c>
      <c r="E36" s="15" t="s">
        <v>42</v>
      </c>
      <c r="F36" s="7">
        <v>110</v>
      </c>
      <c r="G36" s="8">
        <v>1</v>
      </c>
    </row>
    <row r="37" spans="2:7" ht="19.95" customHeight="1" x14ac:dyDescent="0.4">
      <c r="B37" s="13" t="s">
        <v>96</v>
      </c>
      <c r="C37" s="14" t="s">
        <v>97</v>
      </c>
      <c r="D37" s="13" t="s">
        <v>12</v>
      </c>
      <c r="E37" s="13" t="s">
        <v>42</v>
      </c>
      <c r="F37" s="11">
        <v>100</v>
      </c>
      <c r="G37" s="12">
        <v>1</v>
      </c>
    </row>
    <row r="38" spans="2:7" ht="19.95" customHeight="1" x14ac:dyDescent="0.4">
      <c r="B38" s="15" t="s">
        <v>98</v>
      </c>
      <c r="C38" s="5" t="s">
        <v>99</v>
      </c>
      <c r="D38" s="15" t="s">
        <v>12</v>
      </c>
      <c r="E38" s="15" t="s">
        <v>42</v>
      </c>
      <c r="F38" s="7">
        <v>110</v>
      </c>
      <c r="G38" s="8">
        <v>3</v>
      </c>
    </row>
    <row r="39" spans="2:7" ht="19.95" customHeight="1" x14ac:dyDescent="0.4">
      <c r="B39" s="13" t="s">
        <v>100</v>
      </c>
      <c r="C39" s="14" t="s">
        <v>101</v>
      </c>
      <c r="D39" s="13" t="s">
        <v>12</v>
      </c>
      <c r="E39" s="13" t="s">
        <v>36</v>
      </c>
      <c r="F39" s="11">
        <v>150</v>
      </c>
      <c r="G39" s="12">
        <v>7</v>
      </c>
    </row>
    <row r="40" spans="2:7" ht="19.95" customHeight="1" x14ac:dyDescent="0.4">
      <c r="B40" s="15" t="s">
        <v>102</v>
      </c>
      <c r="C40" s="5" t="s">
        <v>103</v>
      </c>
      <c r="D40" s="15" t="s">
        <v>12</v>
      </c>
      <c r="E40" s="15" t="s">
        <v>36</v>
      </c>
      <c r="F40" s="7">
        <v>140</v>
      </c>
      <c r="G40" s="8">
        <v>6</v>
      </c>
    </row>
    <row r="41" spans="2:7" ht="19.95" customHeight="1" x14ac:dyDescent="0.4">
      <c r="B41" s="13" t="s">
        <v>104</v>
      </c>
      <c r="C41" s="14" t="s">
        <v>105</v>
      </c>
      <c r="D41" s="13" t="s">
        <v>12</v>
      </c>
      <c r="E41" s="13" t="s">
        <v>42</v>
      </c>
      <c r="F41" s="11">
        <v>100</v>
      </c>
      <c r="G41" s="12">
        <v>2</v>
      </c>
    </row>
    <row r="42" spans="2:7" ht="19.95" customHeight="1" x14ac:dyDescent="0.4">
      <c r="B42" s="15" t="s">
        <v>106</v>
      </c>
      <c r="C42" s="5" t="s">
        <v>107</v>
      </c>
      <c r="D42" s="15" t="s">
        <v>12</v>
      </c>
      <c r="E42" s="15" t="s">
        <v>42</v>
      </c>
      <c r="F42" s="7">
        <v>90</v>
      </c>
      <c r="G42" s="8">
        <v>1</v>
      </c>
    </row>
    <row r="43" spans="2:7" ht="19.95" customHeight="1" x14ac:dyDescent="0.4">
      <c r="B43" s="13" t="s">
        <v>108</v>
      </c>
      <c r="C43" s="14" t="s">
        <v>109</v>
      </c>
      <c r="D43" s="13" t="s">
        <v>10</v>
      </c>
      <c r="E43" s="13" t="s">
        <v>110</v>
      </c>
      <c r="F43" s="11">
        <v>80</v>
      </c>
      <c r="G43" s="12">
        <v>2</v>
      </c>
    </row>
    <row r="44" spans="2:7" ht="19.95" customHeight="1" x14ac:dyDescent="0.4">
      <c r="B44" s="15" t="s">
        <v>111</v>
      </c>
      <c r="C44" s="5" t="s">
        <v>112</v>
      </c>
      <c r="D44" s="15" t="s">
        <v>10</v>
      </c>
      <c r="E44" s="15" t="s">
        <v>42</v>
      </c>
      <c r="F44" s="7">
        <v>100</v>
      </c>
      <c r="G44" s="8">
        <v>2</v>
      </c>
    </row>
    <row r="45" spans="2:7" ht="19.95" customHeight="1" x14ac:dyDescent="0.4">
      <c r="B45" s="13" t="s">
        <v>113</v>
      </c>
      <c r="C45" s="14" t="s">
        <v>114</v>
      </c>
      <c r="D45" s="13" t="s">
        <v>9</v>
      </c>
      <c r="E45" s="13" t="s">
        <v>115</v>
      </c>
      <c r="F45" s="11">
        <v>170</v>
      </c>
      <c r="G45" s="12">
        <v>3</v>
      </c>
    </row>
    <row r="46" spans="2:7" ht="19.95" customHeight="1" x14ac:dyDescent="0.4">
      <c r="B46" s="15" t="s">
        <v>116</v>
      </c>
      <c r="C46" s="5" t="s">
        <v>117</v>
      </c>
      <c r="D46" s="15" t="s">
        <v>9</v>
      </c>
      <c r="E46" s="15" t="s">
        <v>115</v>
      </c>
      <c r="F46" s="7">
        <v>170</v>
      </c>
      <c r="G46" s="8">
        <v>3</v>
      </c>
    </row>
    <row r="47" spans="2:7" ht="19.95" customHeight="1" x14ac:dyDescent="0.4">
      <c r="B47" s="13" t="s">
        <v>118</v>
      </c>
      <c r="C47" s="14" t="s">
        <v>119</v>
      </c>
      <c r="D47" s="13" t="s">
        <v>9</v>
      </c>
      <c r="E47" s="13" t="s">
        <v>115</v>
      </c>
      <c r="F47" s="11">
        <v>160</v>
      </c>
      <c r="G47" s="12">
        <v>2</v>
      </c>
    </row>
    <row r="48" spans="2:7" ht="19.95" customHeight="1" x14ac:dyDescent="0.4">
      <c r="B48" s="15" t="s">
        <v>120</v>
      </c>
      <c r="C48" s="5" t="s">
        <v>121</v>
      </c>
      <c r="D48" s="15" t="s">
        <v>9</v>
      </c>
      <c r="E48" s="15" t="s">
        <v>115</v>
      </c>
      <c r="F48" s="7">
        <v>160</v>
      </c>
      <c r="G48" s="8">
        <v>2</v>
      </c>
    </row>
    <row r="49" spans="2:7" ht="19.95" customHeight="1" x14ac:dyDescent="0.4">
      <c r="B49" s="13" t="s">
        <v>122</v>
      </c>
      <c r="C49" s="14" t="s">
        <v>123</v>
      </c>
      <c r="D49" s="13" t="s">
        <v>9</v>
      </c>
      <c r="E49" s="13" t="s">
        <v>42</v>
      </c>
      <c r="F49" s="11">
        <v>110</v>
      </c>
      <c r="G49" s="12">
        <v>1.5</v>
      </c>
    </row>
    <row r="50" spans="2:7" ht="19.95" customHeight="1" x14ac:dyDescent="0.4">
      <c r="B50" s="15" t="s">
        <v>124</v>
      </c>
      <c r="C50" s="5" t="s">
        <v>125</v>
      </c>
      <c r="D50" s="15" t="s">
        <v>9</v>
      </c>
      <c r="E50" s="15" t="s">
        <v>42</v>
      </c>
      <c r="F50" s="7">
        <v>70</v>
      </c>
      <c r="G50" s="8">
        <v>1</v>
      </c>
    </row>
    <row r="51" spans="2:7" ht="19.95" customHeight="1" x14ac:dyDescent="0.4">
      <c r="B51" s="13" t="s">
        <v>126</v>
      </c>
      <c r="C51" s="14" t="s">
        <v>127</v>
      </c>
      <c r="D51" s="13" t="s">
        <v>9</v>
      </c>
      <c r="E51" s="13" t="s">
        <v>128</v>
      </c>
      <c r="F51" s="11">
        <v>15</v>
      </c>
      <c r="G51" s="12">
        <v>0</v>
      </c>
    </row>
    <row r="52" spans="2:7" ht="19.95" customHeight="1" x14ac:dyDescent="0.4">
      <c r="B52" s="15" t="s">
        <v>129</v>
      </c>
      <c r="C52" s="5" t="s">
        <v>130</v>
      </c>
      <c r="D52" s="15" t="s">
        <v>11</v>
      </c>
      <c r="E52" s="15" t="s">
        <v>131</v>
      </c>
      <c r="F52" s="7">
        <v>150</v>
      </c>
      <c r="G52" s="8">
        <v>3</v>
      </c>
    </row>
    <row r="53" spans="2:7" ht="19.95" customHeight="1" x14ac:dyDescent="0.4">
      <c r="B53" s="13" t="s">
        <v>132</v>
      </c>
      <c r="C53" s="14" t="s">
        <v>133</v>
      </c>
      <c r="D53" s="13" t="s">
        <v>11</v>
      </c>
      <c r="E53" s="13" t="s">
        <v>134</v>
      </c>
      <c r="F53" s="11">
        <v>160</v>
      </c>
      <c r="G53" s="12">
        <v>4</v>
      </c>
    </row>
    <row r="54" spans="2:7" ht="19.95" customHeight="1" x14ac:dyDescent="0.4">
      <c r="B54" s="15" t="s">
        <v>135</v>
      </c>
      <c r="C54" s="5" t="s">
        <v>136</v>
      </c>
      <c r="D54" s="15" t="s">
        <v>11</v>
      </c>
      <c r="E54" s="15" t="s">
        <v>137</v>
      </c>
      <c r="F54" s="7">
        <v>130</v>
      </c>
      <c r="G54" s="8">
        <v>1</v>
      </c>
    </row>
    <row r="55" spans="2:7" ht="22.05" customHeight="1" x14ac:dyDescent="0.4">
      <c r="B55" s="16"/>
      <c r="C55" s="17" t="s">
        <v>138</v>
      </c>
      <c r="D55" s="16"/>
      <c r="E55" s="16"/>
      <c r="F55" s="18">
        <f>AVERAGE(F5:F54)</f>
        <v>109.3</v>
      </c>
      <c r="G55" s="19">
        <f>AVERAGE(G5:G54)</f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&amp; Summary</vt:lpstr>
      <vt:lpstr>Snack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2026-05-21T07:01:44Z</dcterms:created>
  <dcterms:modified xsi:type="dcterms:W3CDTF">2026-05-21T07:03:00Z</dcterms:modified>
</cp:coreProperties>
</file>